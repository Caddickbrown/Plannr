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dcaddick-brown\Documents\VSCode\Plannr\"/>
    </mc:Choice>
  </mc:AlternateContent>
  <xr:revisionPtr revIDLastSave="0" documentId="8_{24D4848F-F9F9-472C-83F2-E7963A445F46}" xr6:coauthVersionLast="47" xr6:coauthVersionMax="47" xr10:uidLastSave="{00000000-0000-0000-0000-000000000000}"/>
  <bookViews>
    <workbookView xWindow="-120" yWindow="-120" windowWidth="29040" windowHeight="15720" xr2:uid="{79CA632F-FCBC-4C69-B20C-7BF85D6100D1}"/>
  </bookViews>
  <sheets>
    <sheet name="OverviewShopOrder 250710-94310" sheetId="1" r:id="rId1"/>
  </sheets>
  <calcPr calcId="0"/>
</workbook>
</file>

<file path=xl/calcChain.xml><?xml version="1.0" encoding="utf-8"?>
<calcChain xmlns="http://schemas.openxmlformats.org/spreadsheetml/2006/main">
  <c r="F2" i="1" l="1"/>
  <c r="F3" i="1"/>
  <c r="F4" i="1"/>
  <c r="F5" i="1"/>
  <c r="F6" i="1"/>
  <c r="E2" i="1"/>
  <c r="E3" i="1"/>
  <c r="E4" i="1"/>
  <c r="E5" i="1"/>
  <c r="E6" i="1"/>
  <c r="C2" i="1"/>
  <c r="D2" i="1"/>
  <c r="U7" i="1"/>
  <c r="H2" i="1" l="1"/>
  <c r="I2" i="1"/>
  <c r="K2" i="1" s="1"/>
  <c r="M2" i="1" s="1"/>
  <c r="U8" i="1" l="1"/>
  <c r="D3" i="1"/>
  <c r="C6" i="1"/>
  <c r="C5" i="1"/>
  <c r="C4" i="1"/>
  <c r="C3" i="1"/>
  <c r="L2" i="1" l="1"/>
  <c r="J2" i="1"/>
  <c r="N2" i="1"/>
  <c r="G3" i="1"/>
  <c r="H3" i="1" l="1"/>
  <c r="I3" i="1"/>
  <c r="K3" i="1" s="1"/>
  <c r="I4" i="1"/>
  <c r="K4" i="1" s="1"/>
  <c r="I5" i="1"/>
  <c r="K5" i="1" s="1"/>
  <c r="I6" i="1"/>
  <c r="K6" i="1" s="1"/>
  <c r="H4" i="1"/>
  <c r="G4" i="1"/>
  <c r="H6" i="1"/>
  <c r="G6" i="1"/>
  <c r="H5" i="1"/>
  <c r="G5" i="1"/>
  <c r="J3" i="1" l="1"/>
  <c r="J6" i="1"/>
  <c r="M6" i="1"/>
  <c r="N6" i="1" s="1"/>
  <c r="L6" i="1"/>
  <c r="M5" i="1"/>
  <c r="N5" i="1" s="1"/>
  <c r="L5" i="1"/>
  <c r="M4" i="1"/>
  <c r="N4" i="1" s="1"/>
  <c r="L4" i="1"/>
  <c r="L3" i="1"/>
  <c r="M3" i="1"/>
  <c r="N3" i="1" s="1"/>
  <c r="J4" i="1"/>
  <c r="J5" i="1"/>
</calcChain>
</file>

<file path=xl/sharedStrings.xml><?xml version="1.0" encoding="utf-8"?>
<sst xmlns="http://schemas.openxmlformats.org/spreadsheetml/2006/main" count="28" uniqueCount="28">
  <si>
    <t>Setup</t>
  </si>
  <si>
    <t>Lines</t>
  </si>
  <si>
    <t>Manual</t>
  </si>
  <si>
    <t>ManuSQL</t>
  </si>
  <si>
    <t>AMCExcel</t>
  </si>
  <si>
    <t>PlanSnapExcel</t>
  </si>
  <si>
    <t>PlanSnapSQL</t>
  </si>
  <si>
    <t>Multiplier</t>
  </si>
  <si>
    <t>Base</t>
  </si>
  <si>
    <t>Min per Day</t>
  </si>
  <si>
    <t>Max Per Day</t>
  </si>
  <si>
    <t>Working Days</t>
  </si>
  <si>
    <t>Day Rate</t>
  </si>
  <si>
    <t>Hourly Rate</t>
  </si>
  <si>
    <t>Saving £</t>
  </si>
  <si>
    <t>Annual Savings</t>
  </si>
  <si>
    <t>5 Year Savings</t>
  </si>
  <si>
    <t>Comments</t>
  </si>
  <si>
    <t>Process</t>
  </si>
  <si>
    <t>Progressive Improvement</t>
  </si>
  <si>
    <t>Improvement from Base</t>
  </si>
  <si>
    <t>Annual Cost</t>
  </si>
  <si>
    <t>Weekly Hours</t>
  </si>
  <si>
    <t>Annual Hours</t>
  </si>
  <si>
    <t>5 Year Hours</t>
  </si>
  <si>
    <t>Processing</t>
  </si>
  <si>
    <t>Total Time</t>
  </si>
  <si>
    <t>Time Improvement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</si>
</sst>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£&quot;* #,##0.00_-;\-&quot;£&quot;* #,##0.00_-;_-&quot;£&quot;* &quot;-&quot;??_-;_-@_-"/>
    <numFmt numFmtId="167" formatCode="dd:hh:mm:ss"/>
    <numFmt numFmtId="176" formatCode="0.0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167" fontId="0" fillId="0" borderId="0" xfId="0" applyNumberFormat="1"/>
    <xf numFmtId="44" fontId="0" fillId="0" borderId="0" xfId="0" applyNumberFormat="1"/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3">
    <dxf>
      <numFmt numFmtId="167" formatCode="dd:hh:mm:ss"/>
    </dxf>
    <dxf>
      <alignment horizontal="center" vertical="center" textRotation="0" wrapText="0" indent="0" justifyLastLine="0" shrinkToFit="0" readingOrder="0"/>
    </dxf>
    <dxf>
      <numFmt numFmtId="14" formatCode="0.00%"/>
      <alignment horizontal="center" vertical="center" textRotation="0" wrapText="0" indent="0" justifyLastLine="0" shrinkToFit="0" readingOrder="0"/>
    </dxf>
    <dxf>
      <numFmt numFmtId="34" formatCode="_-&quot;£&quot;* #,##0.00_-;\-&quot;£&quot;* #,##0.00_-;_-&quot;£&quot;* &quot;-&quot;??_-;_-@_-"/>
    </dxf>
    <dxf>
      <numFmt numFmtId="34" formatCode="_-&quot;£&quot;* #,##0.00_-;\-&quot;£&quot;* #,##0.00_-;_-&quot;£&quot;* &quot;-&quot;??_-;_-@_-"/>
    </dxf>
    <dxf>
      <numFmt numFmtId="176" formatCode="0.0"/>
      <alignment horizontal="center" vertical="center" textRotation="0" wrapText="0" indent="0" justifyLastLine="0" shrinkToFit="0" readingOrder="0"/>
    </dxf>
    <dxf>
      <numFmt numFmtId="176" formatCode="0.0"/>
      <alignment horizontal="center" vertical="center" textRotation="0" wrapText="0" indent="0" justifyLastLine="0" shrinkToFit="0" readingOrder="0"/>
    </dxf>
    <dxf>
      <numFmt numFmtId="34" formatCode="_-&quot;£&quot;* #,##0.00_-;\-&quot;£&quot;* #,##0.00_-;_-&quot;£&quot;* &quot;-&quot;??_-;_-@_-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4" formatCode="0.00%"/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4A54E8-F5AC-4515-9739-910E17DD91EE}" name="Table1" displayName="Table1" ref="A1:O6" totalsRowShown="0">
  <autoFilter ref="A1:O6" xr:uid="{0A4A54E8-F5AC-4515-9739-910E17DD91EE}"/>
  <tableColumns count="15">
    <tableColumn id="1" xr3:uid="{C91C0783-AB62-4631-9CA1-F9A5DE05D291}" name="Process"/>
    <tableColumn id="2" xr3:uid="{07A8EC4B-5480-4266-97C6-5996CE6922BB}" name="Setup" dataDxfId="11"/>
    <tableColumn id="3" xr3:uid="{7E8DBBEA-52DF-4461-A8C4-A35D4AB45793}" name="Multiplier" dataDxfId="10"/>
    <tableColumn id="4" xr3:uid="{1A07E7EE-43AB-4551-9CE5-03DD282414CB}" name="Processing" dataDxfId="9"/>
    <tableColumn id="6" xr3:uid="{7CE096F8-BE9A-4E19-933D-18B7EE524056}" name="Total Time" dataDxfId="1">
      <calculatedColumnFormula>C2+D2</calculatedColumnFormula>
    </tableColumn>
    <tableColumn id="10" xr3:uid="{4C8C07B9-1641-4B19-AB93-3212DA15A159}" name="Time Improvement" dataDxfId="0">
      <calculatedColumnFormula>($E$2-E2)/86400</calculatedColumnFormula>
    </tableColumn>
    <tableColumn id="11" xr3:uid="{A13E3EF6-BE84-4BCC-A381-C836655FEF3A}" name="Progressive Improvement" dataDxfId="12">
      <calculatedColumnFormula>(#REF!/#REF!)-1</calculatedColumnFormula>
    </tableColumn>
    <tableColumn id="12" xr3:uid="{EB368436-B0B0-4E2F-87BE-C7E89CC414D8}" name="Improvement from Base" dataDxfId="2">
      <calculatedColumnFormula>(E2/$E$2)-1</calculatedColumnFormula>
    </tableColumn>
    <tableColumn id="17" xr3:uid="{6AE46D69-5868-438B-9B76-7FD75B2A3660}" name="Weekly Hours" dataDxfId="8">
      <calculatedColumnFormula>(F2*24)</calculatedColumnFormula>
    </tableColumn>
    <tableColumn id="13" xr3:uid="{052A876B-3810-46E5-9C10-5C0D72CD1340}" name="Saving £" dataDxfId="7">
      <calculatedColumnFormula>(F2*24)*$U$8</calculatedColumnFormula>
    </tableColumn>
    <tableColumn id="18" xr3:uid="{6DEACBBA-03BC-44C4-9D8F-E60E51DB249F}" name="Annual Hours" dataDxfId="6">
      <calculatedColumnFormula>Table1[[#This Row],[Weekly Hours]]*52</calculatedColumnFormula>
    </tableColumn>
    <tableColumn id="14" xr3:uid="{8C74318C-D254-4B86-B144-A0ADEDC9CB63}" name="Annual Savings" dataDxfId="3">
      <calculatedColumnFormula>K2*$U$8</calculatedColumnFormula>
    </tableColumn>
    <tableColumn id="19" xr3:uid="{ADFAD924-27E1-46E4-AE49-7E2D059B27B8}" name="5 Year Hours" dataDxfId="5">
      <calculatedColumnFormula>Table1[[#This Row],[Annual Hours]]*5</calculatedColumnFormula>
    </tableColumn>
    <tableColumn id="15" xr3:uid="{2ECD1AB5-A02A-4CF9-A285-6CBF7E6083A5}" name="5 Year Savings" dataDxfId="4">
      <calculatedColumnFormula>Table1[[#This Row],[5 Year Hours]]*$U$8</calculatedColumnFormula>
    </tableColumn>
    <tableColumn id="16" xr3:uid="{E59AA917-09FE-4C2A-B9D7-F5E1C863FD12}" name="Comments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79F4-87F3-4D91-B51A-B904FEC4561B}">
  <dimension ref="A1:U8"/>
  <sheetViews>
    <sheetView tabSelected="1" workbookViewId="0">
      <selection activeCell="M6" sqref="M6"/>
    </sheetView>
  </sheetViews>
  <sheetFormatPr defaultRowHeight="15" x14ac:dyDescent="0.25"/>
  <cols>
    <col min="1" max="1" width="14" bestFit="1" customWidth="1"/>
    <col min="2" max="2" width="8.5703125" bestFit="1" customWidth="1"/>
    <col min="3" max="3" width="12" bestFit="1" customWidth="1"/>
    <col min="4" max="4" width="13.140625" bestFit="1" customWidth="1"/>
    <col min="5" max="5" width="12.5703125" bestFit="1" customWidth="1"/>
    <col min="6" max="6" width="20.5703125" bestFit="1" customWidth="1"/>
    <col min="7" max="7" width="26.85546875" bestFit="1" customWidth="1"/>
    <col min="8" max="8" width="25.28515625" bestFit="1" customWidth="1"/>
    <col min="9" max="9" width="16" bestFit="1" customWidth="1"/>
    <col min="10" max="10" width="10.5703125" bestFit="1" customWidth="1"/>
    <col min="11" max="11" width="15.42578125" bestFit="1" customWidth="1"/>
    <col min="12" max="12" width="16.85546875" bestFit="1" customWidth="1"/>
    <col min="13" max="13" width="14.5703125" bestFit="1" customWidth="1"/>
    <col min="14" max="14" width="16.140625" bestFit="1" customWidth="1"/>
    <col min="15" max="16" width="13.28515625" bestFit="1" customWidth="1"/>
    <col min="17" max="17" width="13.140625" bestFit="1" customWidth="1"/>
    <col min="18" max="19" width="6" bestFit="1" customWidth="1"/>
    <col min="20" max="20" width="11" bestFit="1" customWidth="1"/>
    <col min="21" max="21" width="12" bestFit="1" customWidth="1"/>
  </cols>
  <sheetData>
    <row r="1" spans="1:21" x14ac:dyDescent="0.25">
      <c r="A1" t="s">
        <v>18</v>
      </c>
      <c r="B1" t="s">
        <v>0</v>
      </c>
      <c r="C1" t="s">
        <v>7</v>
      </c>
      <c r="D1" t="s">
        <v>25</v>
      </c>
      <c r="E1" t="s">
        <v>26</v>
      </c>
      <c r="F1" t="s">
        <v>27</v>
      </c>
      <c r="G1" t="s">
        <v>19</v>
      </c>
      <c r="H1" t="s">
        <v>20</v>
      </c>
      <c r="I1" t="s">
        <v>22</v>
      </c>
      <c r="J1" t="s">
        <v>14</v>
      </c>
      <c r="K1" t="s">
        <v>23</v>
      </c>
      <c r="L1" t="s">
        <v>15</v>
      </c>
      <c r="M1" t="s">
        <v>24</v>
      </c>
      <c r="N1" t="s">
        <v>16</v>
      </c>
      <c r="O1" t="s">
        <v>17</v>
      </c>
    </row>
    <row r="2" spans="1:21" x14ac:dyDescent="0.25">
      <c r="A2" t="s">
        <v>2</v>
      </c>
      <c r="B2" s="3">
        <v>161</v>
      </c>
      <c r="C2" s="3">
        <f>B2*5*4</f>
        <v>3220</v>
      </c>
      <c r="D2" s="5">
        <f>($R$2/$R$4)*(8*60*60)</f>
        <v>110098.28571428571</v>
      </c>
      <c r="E2" s="5">
        <f>C2+D2</f>
        <v>113318.28571428571</v>
      </c>
      <c r="F2" s="1">
        <f>($E$2-E2)/86400</f>
        <v>0</v>
      </c>
      <c r="G2" s="3">
        <v>0</v>
      </c>
      <c r="H2" s="4">
        <f>(E2/$E$2)-1</f>
        <v>0</v>
      </c>
      <c r="I2" s="6">
        <f>(F2*24)</f>
        <v>0</v>
      </c>
      <c r="J2" s="2">
        <f>(F2*24)*$U$8</f>
        <v>0</v>
      </c>
      <c r="K2" s="7">
        <f>Table1[[#This Row],[Weekly Hours]]*52</f>
        <v>0</v>
      </c>
      <c r="L2" s="2">
        <f t="shared" ref="L2:L6" si="0">K2*$U$8</f>
        <v>0</v>
      </c>
      <c r="M2" s="7">
        <f>Table1[[#This Row],[Annual Hours]]*5</f>
        <v>0</v>
      </c>
      <c r="N2" s="2">
        <f>Table1[[#This Row],[5 Year Hours]]*$U$8</f>
        <v>0</v>
      </c>
      <c r="O2" t="s">
        <v>8</v>
      </c>
      <c r="Q2" t="s">
        <v>1</v>
      </c>
      <c r="R2">
        <v>1338</v>
      </c>
    </row>
    <row r="3" spans="1:21" x14ac:dyDescent="0.25">
      <c r="A3" t="s">
        <v>3</v>
      </c>
      <c r="B3" s="3">
        <v>55</v>
      </c>
      <c r="C3" s="3">
        <f>B3*5*4</f>
        <v>1100</v>
      </c>
      <c r="D3" s="5">
        <f>($R$2/$R$4)*(8*60*60)</f>
        <v>110098.28571428571</v>
      </c>
      <c r="E3" s="5">
        <f>C3+D3</f>
        <v>111198.28571428571</v>
      </c>
      <c r="F3" s="1">
        <f>($E$2-E3)/86400</f>
        <v>2.4537037037037038E-2</v>
      </c>
      <c r="G3" s="4">
        <f>(E3/E2)-1</f>
        <v>-1.8708366320906444E-2</v>
      </c>
      <c r="H3" s="4">
        <f>(E3/$E$2)-1</f>
        <v>-1.8708366320906444E-2</v>
      </c>
      <c r="I3" s="6">
        <f t="shared" ref="I3:I6" si="1">(F3*24)</f>
        <v>0.58888888888888891</v>
      </c>
      <c r="J3" s="2">
        <f>(F3*24)*$U$8</f>
        <v>10.639338731443996</v>
      </c>
      <c r="K3" s="7">
        <f>Table1[[#This Row],[Weekly Hours]]*52</f>
        <v>30.622222222222224</v>
      </c>
      <c r="L3" s="2">
        <f t="shared" si="0"/>
        <v>553.24561403508778</v>
      </c>
      <c r="M3" s="7">
        <f>Table1[[#This Row],[Annual Hours]]*5</f>
        <v>153.11111111111111</v>
      </c>
      <c r="N3" s="2">
        <f>Table1[[#This Row],[5 Year Hours]]*$U$8</f>
        <v>2766.2280701754389</v>
      </c>
      <c r="Q3" t="s">
        <v>9</v>
      </c>
      <c r="R3">
        <v>300</v>
      </c>
    </row>
    <row r="4" spans="1:21" x14ac:dyDescent="0.25">
      <c r="A4" t="s">
        <v>4</v>
      </c>
      <c r="B4" s="3">
        <v>52</v>
      </c>
      <c r="C4" s="3">
        <f>B4*1</f>
        <v>52</v>
      </c>
      <c r="D4" s="3">
        <v>1164</v>
      </c>
      <c r="E4" s="3">
        <f>C4+D4</f>
        <v>1216</v>
      </c>
      <c r="F4" s="1">
        <f>($E$2-E4)/86400</f>
        <v>1.2974801587301588</v>
      </c>
      <c r="G4" s="4">
        <f>(E4/E3)-1</f>
        <v>-0.98906457961839078</v>
      </c>
      <c r="H4" s="4">
        <f>(E4/$E$2)-1</f>
        <v>-0.98926916346876304</v>
      </c>
      <c r="I4" s="6">
        <f t="shared" si="1"/>
        <v>31.139523809523808</v>
      </c>
      <c r="J4" s="2">
        <f>(F4*24)*$U$8</f>
        <v>562.59159919028343</v>
      </c>
      <c r="K4" s="7">
        <f>Table1[[#This Row],[Weekly Hours]]*52</f>
        <v>1619.2552380952379</v>
      </c>
      <c r="L4" s="2">
        <f t="shared" si="0"/>
        <v>29254.763157894737</v>
      </c>
      <c r="M4" s="7">
        <f>Table1[[#This Row],[Annual Hours]]*5</f>
        <v>8096.2761904761901</v>
      </c>
      <c r="N4" s="2">
        <f>Table1[[#This Row],[5 Year Hours]]*$U$8</f>
        <v>146273.81578947368</v>
      </c>
      <c r="Q4" t="s">
        <v>10</v>
      </c>
      <c r="R4">
        <v>350</v>
      </c>
    </row>
    <row r="5" spans="1:21" x14ac:dyDescent="0.25">
      <c r="A5" t="s">
        <v>5</v>
      </c>
      <c r="B5" s="3">
        <v>18.5</v>
      </c>
      <c r="C5" s="3">
        <f>B5*1</f>
        <v>18.5</v>
      </c>
      <c r="D5" s="3">
        <v>4.5</v>
      </c>
      <c r="E5" s="3">
        <f>C5+D5</f>
        <v>23</v>
      </c>
      <c r="F5" s="1">
        <f>($E$2-E5)/86400</f>
        <v>1.3112880291005291</v>
      </c>
      <c r="G5" s="4">
        <f>(E5/E4)-1</f>
        <v>-0.98108552631578949</v>
      </c>
      <c r="H5" s="4">
        <f>(E5/$E$2)-1</f>
        <v>-0.99979703187482039</v>
      </c>
      <c r="I5" s="6">
        <f t="shared" si="1"/>
        <v>31.470912698412697</v>
      </c>
      <c r="J5" s="2">
        <f>(F5*24)*$U$8</f>
        <v>568.57873650472334</v>
      </c>
      <c r="K5" s="7">
        <f>Table1[[#This Row],[Weekly Hours]]*52</f>
        <v>1636.4874603174603</v>
      </c>
      <c r="L5" s="2">
        <f t="shared" si="0"/>
        <v>29566.094298245614</v>
      </c>
      <c r="M5" s="7">
        <f>Table1[[#This Row],[Annual Hours]]*5</f>
        <v>8182.4373015873016</v>
      </c>
      <c r="N5" s="2">
        <f>Table1[[#This Row],[5 Year Hours]]*$U$8</f>
        <v>147830.47149122809</v>
      </c>
      <c r="Q5" t="s">
        <v>11</v>
      </c>
      <c r="R5">
        <v>247</v>
      </c>
    </row>
    <row r="6" spans="1:21" x14ac:dyDescent="0.25">
      <c r="A6" t="s">
        <v>6</v>
      </c>
      <c r="B6" s="3">
        <v>9</v>
      </c>
      <c r="C6" s="3">
        <f>B6*1</f>
        <v>9</v>
      </c>
      <c r="D6" s="3">
        <v>4.5</v>
      </c>
      <c r="E6" s="3">
        <f>C6+D6</f>
        <v>13.5</v>
      </c>
      <c r="F6" s="1">
        <f>($E$2-E6)/86400</f>
        <v>1.3113979828042328</v>
      </c>
      <c r="G6" s="4">
        <f>(E6/E5)-1</f>
        <v>-0.41304347826086951</v>
      </c>
      <c r="H6" s="4">
        <f>(E6/$E$2)-1</f>
        <v>-0.99988086653522068</v>
      </c>
      <c r="I6" s="6">
        <f t="shared" si="1"/>
        <v>31.473551587301586</v>
      </c>
      <c r="J6" s="2">
        <f>(F6*24)*$U$8</f>
        <v>568.62641278677461</v>
      </c>
      <c r="K6" s="7">
        <f>Table1[[#This Row],[Weekly Hours]]*52</f>
        <v>1636.6246825396825</v>
      </c>
      <c r="L6" s="2">
        <f t="shared" si="0"/>
        <v>29568.573464912282</v>
      </c>
      <c r="M6" s="7">
        <f>Table1[[#This Row],[Annual Hours]]*5</f>
        <v>8183.1234126984127</v>
      </c>
      <c r="N6" s="2">
        <f>Table1[[#This Row],[5 Year Hours]]*$U$8</f>
        <v>147842.8673245614</v>
      </c>
      <c r="Q6" t="s">
        <v>21</v>
      </c>
      <c r="R6">
        <v>35700</v>
      </c>
    </row>
    <row r="7" spans="1:21" x14ac:dyDescent="0.25">
      <c r="T7" t="s">
        <v>12</v>
      </c>
      <c r="U7">
        <f>R6/R5</f>
        <v>144.5344129554656</v>
      </c>
    </row>
    <row r="8" spans="1:21" x14ac:dyDescent="0.25">
      <c r="T8" t="s">
        <v>13</v>
      </c>
      <c r="U8">
        <f>U7/8</f>
        <v>18.0668016194332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OverviewShopOrder 250710-94310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Caddick-Brown</dc:creator>
  <cp:lastModifiedBy>Daniel Caddick-Brown</cp:lastModifiedBy>
  <dcterms:created xsi:type="dcterms:W3CDTF">2025-07-10T12:28:45Z</dcterms:created>
  <dcterms:modified xsi:type="dcterms:W3CDTF">2025-07-10T12:28:45Z</dcterms:modified>
</cp:coreProperties>
</file>